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pruebacorreoescuelaingeduco-my.sharepoint.com/personal/william_aguilar_escuelaing_edu_co/Documents/ECIJG.ClassSourcecode/"/>
    </mc:Choice>
  </mc:AlternateContent>
  <xr:revisionPtr revIDLastSave="288" documentId="13_ncr:1_{D9D0F582-6B2F-4E11-AC9A-AC50E5A027E6}" xr6:coauthVersionLast="47" xr6:coauthVersionMax="47" xr10:uidLastSave="{93006205-E6B4-4A3F-8D52-6B8ADDAE7A09}"/>
  <bookViews>
    <workbookView xWindow="-108" yWindow="-108" windowWidth="30936" windowHeight="16776" xr2:uid="{00000000-000D-0000-FFFF-FFFF00000000}"/>
  </bookViews>
  <sheets>
    <sheet name="LTWB" sheetId="29" r:id="rId1"/>
  </sheets>
  <definedNames>
    <definedName name="_xlnm._FilterDatabase" localSheetId="0" hidden="1">LTWB!$B$3:$J$40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8" i="29" l="1"/>
  <c r="I37" i="29"/>
  <c r="I36" i="29"/>
  <c r="I35" i="29"/>
  <c r="I33" i="29"/>
  <c r="I32" i="29"/>
  <c r="I31" i="29"/>
  <c r="I30" i="29"/>
  <c r="I28" i="29"/>
  <c r="I27" i="29"/>
  <c r="I26" i="29"/>
  <c r="I25" i="29"/>
  <c r="I24" i="29"/>
  <c r="I23" i="29"/>
  <c r="I22" i="29"/>
  <c r="I21" i="29"/>
  <c r="I20" i="29"/>
  <c r="I18" i="29"/>
  <c r="I17" i="29"/>
  <c r="I16" i="29"/>
  <c r="I15" i="29"/>
  <c r="I14" i="29"/>
  <c r="I13" i="29"/>
  <c r="I12" i="29"/>
  <c r="I11" i="29"/>
  <c r="I10" i="29"/>
  <c r="I9" i="29"/>
  <c r="I7" i="29"/>
  <c r="I6" i="29"/>
  <c r="I5" i="29"/>
  <c r="I4" i="29"/>
  <c r="B41" i="29"/>
  <c r="H29" i="29"/>
  <c r="H26" i="29"/>
  <c r="H24" i="29"/>
  <c r="H19" i="29"/>
  <c r="H17" i="29"/>
  <c r="H14" i="29"/>
  <c r="H11" i="29"/>
  <c r="H4" i="29"/>
  <c r="H34" i="29"/>
  <c r="H22" i="29"/>
  <c r="F29" i="29"/>
  <c r="F26" i="29"/>
  <c r="F24" i="29"/>
  <c r="F22" i="29"/>
  <c r="F19" i="29"/>
  <c r="F34" i="29"/>
  <c r="F17" i="29"/>
  <c r="F14" i="29"/>
  <c r="F11" i="29"/>
  <c r="F4" i="29"/>
  <c r="G40" i="29"/>
  <c r="E40" i="29"/>
  <c r="I40" i="29" l="1"/>
  <c r="I41" i="29" s="1"/>
  <c r="H41" i="29"/>
  <c r="F40" i="29"/>
  <c r="E41" i="29"/>
  <c r="F41" i="29"/>
  <c r="G41" i="29"/>
  <c r="H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Legion</author>
  </authors>
  <commentList>
    <comment ref="I4" authorId="0" shapeId="0" xr:uid="{0AD38827-A4D8-4767-80F7-8DA2DC4BF9DA}">
      <text>
        <r>
          <rPr>
            <sz val="9"/>
            <color indexed="81"/>
            <rFont val="Tahoma"/>
            <family val="2"/>
          </rPr>
          <t>Tiepo video introducción al curso.</t>
        </r>
      </text>
    </comment>
  </commentList>
</comments>
</file>

<file path=xl/sharedStrings.xml><?xml version="1.0" encoding="utf-8"?>
<sst xmlns="http://schemas.openxmlformats.org/spreadsheetml/2006/main" count="109" uniqueCount="91">
  <si>
    <t>Observaciones</t>
  </si>
  <si>
    <t>Semana</t>
  </si>
  <si>
    <t>Entrega</t>
  </si>
  <si>
    <t>¿Qué son y para qué sirven los balances hidrológicos de largo plazo – LTWB?</t>
  </si>
  <si>
    <t>Requerimientos</t>
  </si>
  <si>
    <t>Caso de estudio</t>
  </si>
  <si>
    <t>Creación de usuario NASA Earthdata</t>
  </si>
  <si>
    <t>Descarga y procesamiento de modelo digital de elevación - DEM - NASA ASTER GDEM v3 (30m)</t>
  </si>
  <si>
    <t>Descarga y procesamiento de modelo digital de elevación - DEM - SRTM v3.0 1 arcsec (30m), SRTM v3.0 3 arcsec (90m)</t>
  </si>
  <si>
    <t>Descarga y procesamiento de modelo digital de elevación - DEM - ALOS PALSAR (12.5m)</t>
  </si>
  <si>
    <t>Descarga de GDB nacional del IGAC en escala 1:100k y fotorrestitución de redes de drenaje</t>
  </si>
  <si>
    <t>Reacondicionamiento de terreno - DEM Reconditioning – AgreeDEM</t>
  </si>
  <si>
    <t>Relleno de sumideros o depresiones en modelos digitales de elevación – Fill Sinks – FIL</t>
  </si>
  <si>
    <t>Direcciones de Flujo – Flow Direction – FDR</t>
  </si>
  <si>
    <t>Acumulación de Flujo - Flow Accumulation - FAC</t>
  </si>
  <si>
    <t>Demarcación de drenajes – Stream Definition - STR y localización de nodos característicos</t>
  </si>
  <si>
    <t>Catálogo nacional de estaciones - CNE y selección de estaciones para la zona de estudio</t>
  </si>
  <si>
    <t>Análisis de elevaciones, densidad, cobertura y radio de acción de estaciones terrestres</t>
  </si>
  <si>
    <t>Obtención y unión de series de datos discretos climatológicos de estaciones terrestres</t>
  </si>
  <si>
    <t>Obtención de series de datos discretos climatológicos satelitales y correlación con datos terrestres</t>
  </si>
  <si>
    <t>Exploración y análisis de series - EDA - Representación gráfica</t>
  </si>
  <si>
    <t>Identificación y procesamiento de datos atípicos - Outliers</t>
  </si>
  <si>
    <t>Completado y extendido de series - Imputación</t>
  </si>
  <si>
    <t>Análisis de cambio climático para segmentación de series</t>
  </si>
  <si>
    <t>Agregación estadística para obtención de promedios multianuales compuestos y por fenómeno climatológico</t>
  </si>
  <si>
    <t>Mapa de precipitación total</t>
  </si>
  <si>
    <t>Mapa de temperatura media</t>
  </si>
  <si>
    <t>Mapa de evapotranspiración potencial - ETP</t>
  </si>
  <si>
    <t>Mapa de evapotranspiración real - ETR</t>
  </si>
  <si>
    <t>Balance hidrológico distribuido usando SIG</t>
  </si>
  <si>
    <t>Lectura y análisis de caudales y áreas de aportación en nodos característicos</t>
  </si>
  <si>
    <t>Mapa de isorendimiento medio</t>
  </si>
  <si>
    <t>Balance hidrológico a partir de cuencas delimitadas</t>
  </si>
  <si>
    <t xml:space="preserve">Sección 1 - Introducción y fundamentos </t>
  </si>
  <si>
    <t>Sección 2 - Descarga y procesamiento de modelos digitales de elevación</t>
  </si>
  <si>
    <t>Sección 3 - Descarga, procesamiento y análisis de datos hidroclimatológicos</t>
  </si>
  <si>
    <t>Sección 4 - Análisis espacial de variables climatológicas</t>
  </si>
  <si>
    <t>Sección 5 - Balance hidrológico de largo plazo - LTWB</t>
  </si>
  <si>
    <t>WhatIsLTWB</t>
  </si>
  <si>
    <t>Requirement</t>
  </si>
  <si>
    <t>CaseStudy</t>
  </si>
  <si>
    <t>Path</t>
  </si>
  <si>
    <t>UserCreation</t>
  </si>
  <si>
    <t>DEMAster</t>
  </si>
  <si>
    <t>DEMSrtm</t>
  </si>
  <si>
    <t>DEMAlos</t>
  </si>
  <si>
    <t>GDB100k</t>
  </si>
  <si>
    <t>AgreeDEM</t>
  </si>
  <si>
    <t>FillDEM</t>
  </si>
  <si>
    <t>FdrDEM</t>
  </si>
  <si>
    <t>FacDEM</t>
  </si>
  <si>
    <t>StrDEM</t>
  </si>
  <si>
    <t>CNEStation</t>
  </si>
  <si>
    <t>CNEStationElevation</t>
  </si>
  <si>
    <t>CNEStationDatasetDownload</t>
  </si>
  <si>
    <t>RemoteSensing</t>
  </si>
  <si>
    <t>EDA</t>
  </si>
  <si>
    <t>Outlier</t>
  </si>
  <si>
    <t>Impute</t>
  </si>
  <si>
    <t>ENSOONI</t>
  </si>
  <si>
    <t>Agg</t>
  </si>
  <si>
    <t>Rain</t>
  </si>
  <si>
    <t>Temperature</t>
  </si>
  <si>
    <t>ETP</t>
  </si>
  <si>
    <t>ETR</t>
  </si>
  <si>
    <t>FlowPerformance</t>
  </si>
  <si>
    <t>FlowPoint</t>
  </si>
  <si>
    <t>LTWB</t>
  </si>
  <si>
    <t>LTWBBasin</t>
  </si>
  <si>
    <t>Curso de Balance hidrológico de largo plazo para estimación de caudales medios usando sistemas de información geográfica - SIG.</t>
  </si>
  <si>
    <t>Dedicación mínima estudiante por actividad, hr</t>
  </si>
  <si>
    <t>Dedicación mínima profesor por estudiante, hr</t>
  </si>
  <si>
    <t>Requiere revisión detallade de perfil comparando los mosaicos de los 3 modelos digitales de elevación procesados.</t>
  </si>
  <si>
    <t>No requiere revisión.</t>
  </si>
  <si>
    <t>Requiere reunión sincrónica con cada estudiante para la revisión detallada de la zona o subzona hidrográfica asignada. Luego, requiere de revisión de los vectores obtenidos correspondiente al límite de la zona y su envolvente.</t>
  </si>
  <si>
    <t>Verificación de creación de cuenta.</t>
  </si>
  <si>
    <t>Requiere de revisión detallada.</t>
  </si>
  <si>
    <t>Requiere de al menos 3 revisiones hasta aprobar la red de drenaje.</t>
  </si>
  <si>
    <t>Estudiantes requieren de asistencia para completar esta actividad.</t>
  </si>
  <si>
    <t>Requiere de revisión detallada hasta aprobar la capa de nodos característicos.</t>
  </si>
  <si>
    <t>Requiere de revisión detallada de las series obtenidas hasta aprobar el conjunto de datos.</t>
  </si>
  <si>
    <t>Requiere de revisión detallada y aprobación de series agregadas.</t>
  </si>
  <si>
    <t>Revisión general.</t>
  </si>
  <si>
    <t>Dedicación mínima estudiante por semana, hr</t>
  </si>
  <si>
    <t>Dedicación mínima profesor por semana, hr</t>
  </si>
  <si>
    <t>Subtotales</t>
  </si>
  <si>
    <t>Dedicación semanal por estudiante</t>
  </si>
  <si>
    <t>Semanas</t>
  </si>
  <si>
    <r>
      <rPr>
        <b/>
        <sz val="11"/>
        <color rgb="FFC00000"/>
        <rFont val="Segoe UI Light"/>
        <family val="2"/>
      </rPr>
      <t>Atención</t>
    </r>
    <r>
      <rPr>
        <sz val="11"/>
        <color rgb="FFC00000"/>
        <rFont val="Segoe UI Light"/>
        <family val="2"/>
      </rPr>
      <t>: para el desarrollo completo de las actividades, estudiantes bajo curso con certificado, requieren de licencia de ArcGIS for Desktop y ArcGIS Pro. Es necesario verificar si los estudiantes de educación continuada pueden tener acceso al licenciamiento disponible en campus. La asistencia en la instalación de las herramientas licenciadas debe ser realizada por el Centro de Servicios TI.</t>
    </r>
  </si>
  <si>
    <t>https://github.com/rcfdtools/R.LTWB</t>
  </si>
  <si>
    <t>Video, minutos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</si>
</sst>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sz val="11"/>
      <color theme="1"/>
      <name val="Segoe UI Light"/>
      <family val="2"/>
    </font>
    <font>
      <sz val="11"/>
      <color rgb="FFC00000"/>
      <name val="Segoe UI Light"/>
      <family val="2"/>
    </font>
    <font>
      <sz val="11"/>
      <color rgb="FF0070C0"/>
      <name val="Segoe UI Light"/>
      <family val="2"/>
    </font>
    <font>
      <b/>
      <sz val="11"/>
      <color theme="1"/>
      <name val="Segoe UI Light"/>
      <family val="2"/>
    </font>
    <font>
      <b/>
      <sz val="11"/>
      <color rgb="FFC00000"/>
      <name val="Segoe UI Light"/>
      <family val="2"/>
    </font>
    <font>
      <sz val="9"/>
      <color indexed="81"/>
      <name val="Tahoma"/>
      <family val="2"/>
    </font>
  </fonts>
  <fills count="3">
    <fill>
      <patternFill patternType="none"/>
    </fill>
    <fill>
      <patternFill patternType="gray125"/>
    </fill>
    <fill>
      <patternFill patternType="solid">
        <fgColor theme="0" tint="-4.9989318521683403E-2"/>
        <bgColor indexed="64"/>
      </patternFill>
    </fill>
  </fills>
  <borders count="25">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theme="0" tint="-4.9989318521683403E-2"/>
      </right>
      <top style="thin">
        <color theme="0" tint="-4.9989318521683403E-2"/>
      </top>
      <bottom/>
      <diagonal/>
    </border>
    <border>
      <left style="thin">
        <color indexed="64"/>
      </left>
      <right style="thin">
        <color theme="0" tint="-4.9989318521683403E-2"/>
      </right>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diagonal/>
    </border>
    <border>
      <left style="thin">
        <color theme="0" tint="-4.9989318521683403E-2"/>
      </left>
      <right/>
      <top/>
      <bottom/>
      <diagonal/>
    </border>
    <border>
      <left style="thin">
        <color theme="0" tint="-4.9989318521683403E-2"/>
      </left>
      <right/>
      <top style="thin">
        <color theme="0" tint="-4.9989318521683403E-2"/>
      </top>
      <bottom style="thin">
        <color indexed="64"/>
      </bottom>
      <diagonal/>
    </border>
  </borders>
  <cellStyleXfs count="2">
    <xf numFmtId="0" fontId="0" fillId="0" borderId="0"/>
    <xf numFmtId="0" fontId="1" fillId="0" borderId="0" applyNumberFormat="0" applyFill="0" applyBorder="0" applyAlignment="0" applyProtection="0"/>
  </cellStyleXfs>
  <cellXfs count="46">
    <xf numFmtId="0" fontId="0" fillId="0" borderId="0" xfId="0"/>
    <xf numFmtId="0" fontId="2" fillId="0" borderId="0" xfId="0" applyFont="1" applyAlignment="1">
      <alignment horizontal="center" vertical="top"/>
    </xf>
    <xf numFmtId="0" fontId="2" fillId="0" borderId="0" xfId="0" applyFont="1" applyAlignment="1">
      <alignment vertical="top"/>
    </xf>
    <xf numFmtId="0" fontId="2" fillId="2" borderId="3" xfId="0" applyFont="1" applyFill="1" applyBorder="1" applyAlignment="1">
      <alignment vertical="top" wrapText="1"/>
    </xf>
    <xf numFmtId="0" fontId="2" fillId="2" borderId="3" xfId="0" applyFont="1" applyFill="1" applyBorder="1" applyAlignment="1">
      <alignment horizontal="center" vertical="top" wrapText="1"/>
    </xf>
    <xf numFmtId="0" fontId="2" fillId="2" borderId="4" xfId="0" applyFont="1" applyFill="1" applyBorder="1" applyAlignment="1">
      <alignment vertical="top" wrapText="1"/>
    </xf>
    <xf numFmtId="0" fontId="2" fillId="2" borderId="2" xfId="0" applyFont="1" applyFill="1" applyBorder="1" applyAlignment="1">
      <alignment horizontal="center" vertical="top" wrapText="1"/>
    </xf>
    <xf numFmtId="0" fontId="2" fillId="0" borderId="6" xfId="0" applyFont="1" applyBorder="1" applyAlignment="1">
      <alignment horizontal="center" vertical="top"/>
    </xf>
    <xf numFmtId="0" fontId="2" fillId="0" borderId="1" xfId="0" applyFont="1" applyBorder="1" applyAlignment="1">
      <alignment horizontal="center" vertical="top" wrapText="1"/>
    </xf>
    <xf numFmtId="0" fontId="2" fillId="0" borderId="7" xfId="0" applyFont="1" applyBorder="1" applyAlignment="1">
      <alignment horizontal="center" vertical="top" wrapText="1"/>
    </xf>
    <xf numFmtId="0" fontId="2" fillId="0" borderId="1" xfId="0" applyFont="1" applyBorder="1" applyAlignment="1">
      <alignment horizontal="left" vertical="top" wrapText="1" indent="2"/>
    </xf>
    <xf numFmtId="0" fontId="2" fillId="0" borderId="7" xfId="0" applyFont="1" applyBorder="1" applyAlignment="1">
      <alignment horizontal="left" vertical="top" wrapText="1" indent="2"/>
    </xf>
    <xf numFmtId="0" fontId="5" fillId="0" borderId="1" xfId="0" applyFont="1" applyBorder="1" applyAlignment="1">
      <alignment vertical="top" wrapText="1"/>
    </xf>
    <xf numFmtId="0" fontId="5" fillId="0" borderId="1" xfId="0" applyFont="1" applyBorder="1" applyAlignment="1">
      <alignment horizontal="left" vertical="top" wrapText="1"/>
    </xf>
    <xf numFmtId="0" fontId="2" fillId="0" borderId="5" xfId="0" applyFont="1" applyBorder="1" applyAlignment="1">
      <alignment vertical="top" wrapText="1"/>
    </xf>
    <xf numFmtId="0" fontId="2" fillId="0" borderId="8" xfId="0" applyFont="1" applyBorder="1" applyAlignment="1">
      <alignment vertical="top" wrapText="1"/>
    </xf>
    <xf numFmtId="0" fontId="4" fillId="0" borderId="0" xfId="1" applyFont="1" applyAlignment="1">
      <alignment horizontal="right" vertical="top"/>
    </xf>
    <xf numFmtId="0" fontId="2" fillId="0" borderId="1" xfId="0" applyFont="1" applyBorder="1" applyAlignment="1">
      <alignment horizontal="left" vertical="top" wrapText="1"/>
    </xf>
    <xf numFmtId="0" fontId="2" fillId="0" borderId="7" xfId="0" applyFont="1" applyBorder="1" applyAlignment="1">
      <alignment horizontal="left" vertical="top" wrapText="1"/>
    </xf>
    <xf numFmtId="0" fontId="2" fillId="0" borderId="0" xfId="0" applyFont="1" applyAlignment="1">
      <alignment horizontal="right" vertical="top"/>
    </xf>
    <xf numFmtId="0" fontId="3" fillId="0" borderId="5" xfId="0" applyFont="1" applyBorder="1" applyAlignment="1">
      <alignment vertical="top" wrapText="1"/>
    </xf>
    <xf numFmtId="0" fontId="2" fillId="0" borderId="10" xfId="0" applyFont="1" applyBorder="1" applyAlignment="1">
      <alignment horizontal="center" vertical="top"/>
    </xf>
    <xf numFmtId="0" fontId="2" fillId="0" borderId="11" xfId="0" applyFont="1" applyBorder="1" applyAlignment="1">
      <alignment vertical="top"/>
    </xf>
    <xf numFmtId="0" fontId="2" fillId="0" borderId="11" xfId="0" applyFont="1" applyBorder="1" applyAlignment="1">
      <alignment horizontal="right" vertical="top"/>
    </xf>
    <xf numFmtId="0" fontId="2" fillId="0" borderId="11" xfId="0" applyFont="1" applyBorder="1" applyAlignment="1">
      <alignment horizontal="center" vertical="top"/>
    </xf>
    <xf numFmtId="0" fontId="2" fillId="0" borderId="12" xfId="0" applyFont="1" applyBorder="1" applyAlignment="1">
      <alignment vertical="top"/>
    </xf>
    <xf numFmtId="0" fontId="2" fillId="0" borderId="16" xfId="0" applyFont="1" applyBorder="1" applyAlignment="1">
      <alignment horizontal="center" vertical="top"/>
    </xf>
    <xf numFmtId="0" fontId="2" fillId="0" borderId="9" xfId="0" applyFont="1" applyBorder="1" applyAlignment="1">
      <alignment vertical="top"/>
    </xf>
    <xf numFmtId="0" fontId="2" fillId="0" borderId="9" xfId="0" applyFont="1" applyBorder="1" applyAlignment="1">
      <alignment horizontal="right" vertical="top"/>
    </xf>
    <xf numFmtId="0" fontId="2" fillId="0" borderId="9" xfId="0" applyFont="1" applyBorder="1" applyAlignment="1">
      <alignment horizontal="center" vertical="top"/>
    </xf>
    <xf numFmtId="0" fontId="2" fillId="0" borderId="17" xfId="0" applyFont="1" applyBorder="1" applyAlignment="1">
      <alignment vertical="top"/>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2" fillId="0" borderId="15" xfId="0" applyFont="1" applyBorder="1" applyAlignment="1">
      <alignment horizontal="center" vertical="top" wrapText="1"/>
    </xf>
    <xf numFmtId="0" fontId="2" fillId="0" borderId="13" xfId="0" applyFont="1" applyBorder="1" applyAlignment="1">
      <alignment horizontal="center" vertical="top"/>
    </xf>
    <xf numFmtId="0" fontId="2" fillId="0" borderId="14" xfId="0" applyFont="1" applyBorder="1" applyAlignment="1">
      <alignment horizontal="center" vertical="top"/>
    </xf>
    <xf numFmtId="0" fontId="2" fillId="0" borderId="15" xfId="0" applyFont="1" applyBorder="1" applyAlignment="1">
      <alignment horizontal="center" vertical="top"/>
    </xf>
    <xf numFmtId="0" fontId="2" fillId="0" borderId="18" xfId="0" applyFont="1" applyBorder="1" applyAlignment="1">
      <alignment horizontal="center" vertical="top"/>
    </xf>
    <xf numFmtId="0" fontId="2" fillId="0" borderId="20" xfId="0" applyFont="1" applyBorder="1" applyAlignment="1">
      <alignment horizontal="center" vertical="top"/>
    </xf>
    <xf numFmtId="0" fontId="2" fillId="0" borderId="19" xfId="0" applyFont="1" applyBorder="1" applyAlignment="1">
      <alignment horizontal="center" vertical="top"/>
    </xf>
    <xf numFmtId="0" fontId="2" fillId="2" borderId="21" xfId="0" applyFont="1" applyFill="1" applyBorder="1" applyAlignment="1">
      <alignment horizontal="center" vertical="top" wrapText="1"/>
    </xf>
    <xf numFmtId="0" fontId="2" fillId="0" borderId="22" xfId="0" applyFont="1" applyBorder="1" applyAlignment="1">
      <alignment horizontal="center" vertical="top" wrapText="1"/>
    </xf>
    <xf numFmtId="0" fontId="2" fillId="0" borderId="23" xfId="0" applyFont="1" applyBorder="1" applyAlignment="1">
      <alignment horizontal="center" vertical="top" wrapText="1"/>
    </xf>
    <xf numFmtId="0" fontId="2" fillId="0" borderId="24" xfId="0" applyFont="1" applyBorder="1" applyAlignment="1">
      <alignment horizontal="center" vertical="top" wrapText="1"/>
    </xf>
    <xf numFmtId="2" fontId="2" fillId="0" borderId="22" xfId="0" applyNumberFormat="1" applyFont="1" applyBorder="1" applyAlignment="1">
      <alignment horizontal="center" vertical="top" wrapText="1"/>
    </xf>
    <xf numFmtId="2" fontId="2" fillId="0" borderId="11" xfId="0" applyNumberFormat="1" applyFont="1" applyBorder="1" applyAlignment="1">
      <alignment horizontal="center" vertical="top"/>
    </xf>
  </cellXfs>
  <cellStyles count="2">
    <cellStyle name="Hyperlink" xfId="1" builtinId="8"/>
    <cellStyle name="Normal" xfId="0" builtinId="0"/>
  </cellStyles>
  <dxfs count="0"/>
  <tableStyles count="0" defaultTableStyle="TableStyleMedium2" defaultPivotStyle="PivotStyleLight16"/>
  <colors>
    <mruColors>
      <color rgb="FFA5D9DB"/>
      <color rgb="FFFADF9C"/>
      <color rgb="FFFAEB84"/>
      <color rgb="FFEDA5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github.com/rcfdtools/R.LT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E230F-EC35-4325-974A-0D9F58177339}">
  <dimension ref="B1:J41"/>
  <sheetViews>
    <sheetView showGridLines="0" tabSelected="1" zoomScale="115" zoomScaleNormal="115" workbookViewId="0">
      <pane xSplit="4" ySplit="3" topLeftCell="E4" activePane="bottomRight" state="frozen"/>
      <selection pane="topRight" activeCell="E1" sqref="E1"/>
      <selection pane="bottomLeft" activeCell="A4" sqref="A4"/>
      <selection pane="bottomRight" activeCell="E4" sqref="E4"/>
    </sheetView>
  </sheetViews>
  <sheetFormatPr defaultColWidth="9.109375" defaultRowHeight="16.8" x14ac:dyDescent="0.3"/>
  <cols>
    <col min="1" max="1" width="2.6640625" style="2" customWidth="1"/>
    <col min="2" max="2" width="13.44140625" style="2" customWidth="1"/>
    <col min="3" max="3" width="50.6640625" style="2" customWidth="1"/>
    <col min="4" max="4" width="28.109375" style="2" hidden="1" customWidth="1"/>
    <col min="5" max="8" width="18.6640625" style="1" customWidth="1"/>
    <col min="9" max="9" width="10.33203125" style="1" customWidth="1"/>
    <col min="10" max="10" width="60.6640625" style="2" customWidth="1"/>
    <col min="11" max="11" width="2.6640625" style="2" customWidth="1"/>
    <col min="12" max="16384" width="9.109375" style="2"/>
  </cols>
  <sheetData>
    <row r="1" spans="2:10" x14ac:dyDescent="0.3">
      <c r="J1" s="19"/>
    </row>
    <row r="2" spans="2:10" x14ac:dyDescent="0.3">
      <c r="B2" s="2" t="s">
        <v>69</v>
      </c>
      <c r="E2" s="2"/>
      <c r="F2" s="2"/>
      <c r="G2" s="2"/>
      <c r="H2" s="2"/>
      <c r="I2" s="2"/>
      <c r="J2" s="16" t="s">
        <v>89</v>
      </c>
    </row>
    <row r="3" spans="2:10" ht="50.4" x14ac:dyDescent="0.3">
      <c r="B3" s="6" t="s">
        <v>1</v>
      </c>
      <c r="C3" s="3" t="s">
        <v>2</v>
      </c>
      <c r="D3" s="3" t="s">
        <v>41</v>
      </c>
      <c r="E3" s="4" t="s">
        <v>70</v>
      </c>
      <c r="F3" s="4" t="s">
        <v>83</v>
      </c>
      <c r="G3" s="4" t="s">
        <v>71</v>
      </c>
      <c r="H3" s="4" t="s">
        <v>84</v>
      </c>
      <c r="I3" s="40" t="s">
        <v>90</v>
      </c>
      <c r="J3" s="5" t="s">
        <v>0</v>
      </c>
    </row>
    <row r="4" spans="2:10" x14ac:dyDescent="0.3">
      <c r="B4" s="37">
        <v>1</v>
      </c>
      <c r="C4" s="12" t="s">
        <v>33</v>
      </c>
      <c r="D4" s="17"/>
      <c r="E4" s="8"/>
      <c r="F4" s="31">
        <f>SUM(E4:E10)</f>
        <v>4.75</v>
      </c>
      <c r="G4" s="8"/>
      <c r="H4" s="31">
        <f>SUM(G4:G10)</f>
        <v>3.1</v>
      </c>
      <c r="I4" s="44">
        <f>3+(49/60)</f>
        <v>3.8166666666666664</v>
      </c>
      <c r="J4" s="14"/>
    </row>
    <row r="5" spans="2:10" ht="33.6" x14ac:dyDescent="0.3">
      <c r="B5" s="39"/>
      <c r="C5" s="10" t="s">
        <v>3</v>
      </c>
      <c r="D5" s="17" t="s">
        <v>38</v>
      </c>
      <c r="E5" s="8">
        <v>0.25</v>
      </c>
      <c r="F5" s="32"/>
      <c r="G5" s="8">
        <v>0</v>
      </c>
      <c r="H5" s="32"/>
      <c r="I5" s="44">
        <f>2+(28/60)</f>
        <v>2.4666666666666668</v>
      </c>
      <c r="J5" s="14" t="s">
        <v>73</v>
      </c>
    </row>
    <row r="6" spans="2:10" ht="117.6" x14ac:dyDescent="0.3">
      <c r="B6" s="39"/>
      <c r="C6" s="10" t="s">
        <v>4</v>
      </c>
      <c r="D6" s="17" t="s">
        <v>39</v>
      </c>
      <c r="E6" s="8">
        <v>2</v>
      </c>
      <c r="F6" s="32"/>
      <c r="G6" s="8">
        <v>1</v>
      </c>
      <c r="H6" s="32"/>
      <c r="I6" s="44">
        <f>5+(8/60)</f>
        <v>5.1333333333333337</v>
      </c>
      <c r="J6" s="20" t="s">
        <v>88</v>
      </c>
    </row>
    <row r="7" spans="2:10" ht="67.2" x14ac:dyDescent="0.3">
      <c r="B7" s="39"/>
      <c r="C7" s="10" t="s">
        <v>5</v>
      </c>
      <c r="D7" s="17" t="s">
        <v>40</v>
      </c>
      <c r="E7" s="8">
        <v>1</v>
      </c>
      <c r="F7" s="32"/>
      <c r="G7" s="8">
        <v>1.5</v>
      </c>
      <c r="H7" s="32"/>
      <c r="I7" s="44">
        <f>3+(41/60)</f>
        <v>3.6833333333333336</v>
      </c>
      <c r="J7" s="14" t="s">
        <v>74</v>
      </c>
    </row>
    <row r="8" spans="2:10" ht="33.6" x14ac:dyDescent="0.3">
      <c r="B8" s="39"/>
      <c r="C8" s="13" t="s">
        <v>34</v>
      </c>
      <c r="D8" s="17"/>
      <c r="E8" s="8"/>
      <c r="F8" s="32"/>
      <c r="G8" s="8"/>
      <c r="H8" s="32"/>
      <c r="I8" s="42"/>
      <c r="J8" s="14"/>
    </row>
    <row r="9" spans="2:10" x14ac:dyDescent="0.3">
      <c r="B9" s="39"/>
      <c r="C9" s="10" t="s">
        <v>6</v>
      </c>
      <c r="D9" s="17" t="s">
        <v>42</v>
      </c>
      <c r="E9" s="8">
        <v>0.25</v>
      </c>
      <c r="F9" s="32"/>
      <c r="G9" s="8">
        <v>0.1</v>
      </c>
      <c r="H9" s="32"/>
      <c r="I9" s="44">
        <f>1+(43/60)</f>
        <v>1.7166666666666668</v>
      </c>
      <c r="J9" s="14" t="s">
        <v>75</v>
      </c>
    </row>
    <row r="10" spans="2:10" ht="33.6" x14ac:dyDescent="0.3">
      <c r="B10" s="38"/>
      <c r="C10" s="10" t="s">
        <v>7</v>
      </c>
      <c r="D10" s="17" t="s">
        <v>43</v>
      </c>
      <c r="E10" s="8">
        <v>1.25</v>
      </c>
      <c r="F10" s="33"/>
      <c r="G10" s="8">
        <v>0.5</v>
      </c>
      <c r="H10" s="33"/>
      <c r="I10" s="44">
        <f>3+(20/60)</f>
        <v>3.3333333333333335</v>
      </c>
      <c r="J10" s="14" t="s">
        <v>76</v>
      </c>
    </row>
    <row r="11" spans="2:10" ht="50.4" x14ac:dyDescent="0.3">
      <c r="B11" s="37">
        <v>2</v>
      </c>
      <c r="C11" s="10" t="s">
        <v>8</v>
      </c>
      <c r="D11" s="17" t="s">
        <v>44</v>
      </c>
      <c r="E11" s="8">
        <v>1</v>
      </c>
      <c r="F11" s="31">
        <f>SUM(E11:E13)</f>
        <v>4.25</v>
      </c>
      <c r="G11" s="8">
        <v>0.5</v>
      </c>
      <c r="H11" s="31">
        <f>SUM(G11:G13)</f>
        <v>3.5</v>
      </c>
      <c r="I11" s="44">
        <f>2+(53/60)</f>
        <v>2.8833333333333333</v>
      </c>
      <c r="J11" s="14" t="s">
        <v>76</v>
      </c>
    </row>
    <row r="12" spans="2:10" ht="33.6" x14ac:dyDescent="0.3">
      <c r="B12" s="39"/>
      <c r="C12" s="10" t="s">
        <v>9</v>
      </c>
      <c r="D12" s="17" t="s">
        <v>45</v>
      </c>
      <c r="E12" s="8">
        <v>1.25</v>
      </c>
      <c r="F12" s="32"/>
      <c r="G12" s="8">
        <v>1</v>
      </c>
      <c r="H12" s="32"/>
      <c r="I12" s="44">
        <f>3+(41/60)</f>
        <v>3.6833333333333336</v>
      </c>
      <c r="J12" s="14" t="s">
        <v>72</v>
      </c>
    </row>
    <row r="13" spans="2:10" ht="33.6" x14ac:dyDescent="0.3">
      <c r="B13" s="38"/>
      <c r="C13" s="10" t="s">
        <v>10</v>
      </c>
      <c r="D13" s="17" t="s">
        <v>46</v>
      </c>
      <c r="E13" s="8">
        <v>2</v>
      </c>
      <c r="F13" s="33"/>
      <c r="G13" s="8">
        <v>2</v>
      </c>
      <c r="H13" s="33"/>
      <c r="I13" s="44">
        <f>4+(32/60)</f>
        <v>4.5333333333333332</v>
      </c>
      <c r="J13" s="14" t="s">
        <v>77</v>
      </c>
    </row>
    <row r="14" spans="2:10" ht="33.6" x14ac:dyDescent="0.3">
      <c r="B14" s="37">
        <v>3</v>
      </c>
      <c r="C14" s="10" t="s">
        <v>11</v>
      </c>
      <c r="D14" s="17" t="s">
        <v>47</v>
      </c>
      <c r="E14" s="8">
        <v>2</v>
      </c>
      <c r="F14" s="34">
        <f>SUM(E14:E16)</f>
        <v>5.5</v>
      </c>
      <c r="G14" s="8">
        <v>1</v>
      </c>
      <c r="H14" s="34">
        <f>SUM(G14:G16)</f>
        <v>2</v>
      </c>
      <c r="I14" s="44">
        <f>3+(59/60)</f>
        <v>3.9833333333333334</v>
      </c>
      <c r="J14" s="14" t="s">
        <v>78</v>
      </c>
    </row>
    <row r="15" spans="2:10" ht="33.6" x14ac:dyDescent="0.3">
      <c r="B15" s="39"/>
      <c r="C15" s="10" t="s">
        <v>12</v>
      </c>
      <c r="D15" s="17" t="s">
        <v>48</v>
      </c>
      <c r="E15" s="8">
        <v>2</v>
      </c>
      <c r="F15" s="35"/>
      <c r="G15" s="8">
        <v>0.5</v>
      </c>
      <c r="H15" s="35"/>
      <c r="I15" s="44">
        <f>3+(41/60)</f>
        <v>3.6833333333333336</v>
      </c>
      <c r="J15" s="14" t="s">
        <v>82</v>
      </c>
    </row>
    <row r="16" spans="2:10" x14ac:dyDescent="0.3">
      <c r="B16" s="38"/>
      <c r="C16" s="10" t="s">
        <v>13</v>
      </c>
      <c r="D16" s="17" t="s">
        <v>49</v>
      </c>
      <c r="E16" s="8">
        <v>1.5</v>
      </c>
      <c r="F16" s="36"/>
      <c r="G16" s="8">
        <v>0.5</v>
      </c>
      <c r="H16" s="36"/>
      <c r="I16" s="44">
        <f>4+(48/60)</f>
        <v>4.8</v>
      </c>
      <c r="J16" s="14" t="s">
        <v>82</v>
      </c>
    </row>
    <row r="17" spans="2:10" x14ac:dyDescent="0.3">
      <c r="B17" s="37">
        <v>4</v>
      </c>
      <c r="C17" s="10" t="s">
        <v>14</v>
      </c>
      <c r="D17" s="17" t="s">
        <v>50</v>
      </c>
      <c r="E17" s="8">
        <v>1.5</v>
      </c>
      <c r="F17" s="31">
        <f>SUM(E17:E18)</f>
        <v>3.5</v>
      </c>
      <c r="G17" s="8">
        <v>0.5</v>
      </c>
      <c r="H17" s="31">
        <f>SUM(G17:G18)</f>
        <v>1.5</v>
      </c>
      <c r="I17" s="44">
        <f>4+(25/60)</f>
        <v>4.416666666666667</v>
      </c>
      <c r="J17" s="14" t="s">
        <v>82</v>
      </c>
    </row>
    <row r="18" spans="2:10" ht="33.6" x14ac:dyDescent="0.3">
      <c r="B18" s="38"/>
      <c r="C18" s="10" t="s">
        <v>15</v>
      </c>
      <c r="D18" s="17" t="s">
        <v>51</v>
      </c>
      <c r="E18" s="8">
        <v>2</v>
      </c>
      <c r="F18" s="33"/>
      <c r="G18" s="8">
        <v>1</v>
      </c>
      <c r="H18" s="33"/>
      <c r="I18" s="44">
        <f>7+(57/60)</f>
        <v>7.95</v>
      </c>
      <c r="J18" s="14" t="s">
        <v>79</v>
      </c>
    </row>
    <row r="19" spans="2:10" ht="33.6" x14ac:dyDescent="0.3">
      <c r="B19" s="37">
        <v>5</v>
      </c>
      <c r="C19" s="13" t="s">
        <v>35</v>
      </c>
      <c r="D19" s="17"/>
      <c r="E19" s="8"/>
      <c r="F19" s="31">
        <f>SUM(E19:E21)</f>
        <v>5</v>
      </c>
      <c r="G19" s="8"/>
      <c r="H19" s="31">
        <f>SUM(G19:G21)</f>
        <v>1.5</v>
      </c>
      <c r="I19" s="41"/>
      <c r="J19" s="14"/>
    </row>
    <row r="20" spans="2:10" ht="33.6" x14ac:dyDescent="0.3">
      <c r="B20" s="39"/>
      <c r="C20" s="10" t="s">
        <v>16</v>
      </c>
      <c r="D20" s="17" t="s">
        <v>52</v>
      </c>
      <c r="E20" s="8">
        <v>3</v>
      </c>
      <c r="F20" s="32"/>
      <c r="G20" s="8">
        <v>0.75</v>
      </c>
      <c r="H20" s="32"/>
      <c r="I20" s="44">
        <f>18+(10/60)</f>
        <v>18.166666666666668</v>
      </c>
      <c r="J20" s="14" t="s">
        <v>82</v>
      </c>
    </row>
    <row r="21" spans="2:10" ht="33.6" x14ac:dyDescent="0.3">
      <c r="B21" s="38"/>
      <c r="C21" s="10" t="s">
        <v>17</v>
      </c>
      <c r="D21" s="17" t="s">
        <v>53</v>
      </c>
      <c r="E21" s="8">
        <v>2</v>
      </c>
      <c r="F21" s="33"/>
      <c r="G21" s="8">
        <v>0.75</v>
      </c>
      <c r="H21" s="33"/>
      <c r="I21" s="44">
        <f>11+(47/60)</f>
        <v>11.783333333333333</v>
      </c>
      <c r="J21" s="14" t="s">
        <v>82</v>
      </c>
    </row>
    <row r="22" spans="2:10" ht="33.6" x14ac:dyDescent="0.3">
      <c r="B22" s="37">
        <v>6</v>
      </c>
      <c r="C22" s="10" t="s">
        <v>18</v>
      </c>
      <c r="D22" s="17" t="s">
        <v>54</v>
      </c>
      <c r="E22" s="8">
        <v>2.5</v>
      </c>
      <c r="F22" s="31">
        <f>SUM(E22:E23)</f>
        <v>4.5</v>
      </c>
      <c r="G22" s="8">
        <v>1</v>
      </c>
      <c r="H22" s="31">
        <f>SUM(G22:G23)</f>
        <v>1.75</v>
      </c>
      <c r="I22" s="44">
        <f>9+(34/60)</f>
        <v>9.5666666666666664</v>
      </c>
      <c r="J22" s="14" t="s">
        <v>80</v>
      </c>
    </row>
    <row r="23" spans="2:10" ht="33.6" x14ac:dyDescent="0.3">
      <c r="B23" s="38"/>
      <c r="C23" s="10" t="s">
        <v>19</v>
      </c>
      <c r="D23" s="17" t="s">
        <v>55</v>
      </c>
      <c r="E23" s="8">
        <v>2</v>
      </c>
      <c r="F23" s="33"/>
      <c r="G23" s="8">
        <v>0.75</v>
      </c>
      <c r="H23" s="33"/>
      <c r="I23" s="44">
        <f>7+(14/60)</f>
        <v>7.2333333333333334</v>
      </c>
      <c r="J23" s="14" t="s">
        <v>82</v>
      </c>
    </row>
    <row r="24" spans="2:10" ht="33.6" x14ac:dyDescent="0.3">
      <c r="B24" s="37">
        <v>7</v>
      </c>
      <c r="C24" s="10" t="s">
        <v>20</v>
      </c>
      <c r="D24" s="17" t="s">
        <v>56</v>
      </c>
      <c r="E24" s="8">
        <v>2</v>
      </c>
      <c r="F24" s="31">
        <f>SUM(E24:E25)</f>
        <v>4</v>
      </c>
      <c r="G24" s="8">
        <v>0.75</v>
      </c>
      <c r="H24" s="31">
        <f>SUM(G24:G25)</f>
        <v>1.5</v>
      </c>
      <c r="I24" s="44">
        <f>6+(17/60)</f>
        <v>6.2833333333333332</v>
      </c>
      <c r="J24" s="14" t="s">
        <v>76</v>
      </c>
    </row>
    <row r="25" spans="2:10" ht="33.6" x14ac:dyDescent="0.3">
      <c r="B25" s="38"/>
      <c r="C25" s="10" t="s">
        <v>21</v>
      </c>
      <c r="D25" s="17" t="s">
        <v>57</v>
      </c>
      <c r="E25" s="8">
        <v>2</v>
      </c>
      <c r="F25" s="33"/>
      <c r="G25" s="8">
        <v>0.75</v>
      </c>
      <c r="H25" s="33"/>
      <c r="I25" s="44">
        <f>8+(27/60)</f>
        <v>8.4499999999999993</v>
      </c>
      <c r="J25" s="14" t="s">
        <v>76</v>
      </c>
    </row>
    <row r="26" spans="2:10" x14ac:dyDescent="0.3">
      <c r="B26" s="37">
        <v>8</v>
      </c>
      <c r="C26" s="10" t="s">
        <v>22</v>
      </c>
      <c r="D26" s="17" t="s">
        <v>58</v>
      </c>
      <c r="E26" s="8">
        <v>2</v>
      </c>
      <c r="F26" s="31">
        <f>SUM(E26:E28)</f>
        <v>5</v>
      </c>
      <c r="G26" s="8">
        <v>0.75</v>
      </c>
      <c r="H26" s="31">
        <f>SUM(G26:G28)</f>
        <v>1.75</v>
      </c>
      <c r="I26" s="44">
        <f>10+(39/60)</f>
        <v>10.65</v>
      </c>
      <c r="J26" s="14" t="s">
        <v>76</v>
      </c>
    </row>
    <row r="27" spans="2:10" ht="33.6" x14ac:dyDescent="0.3">
      <c r="B27" s="39"/>
      <c r="C27" s="10" t="s">
        <v>23</v>
      </c>
      <c r="D27" s="17" t="s">
        <v>59</v>
      </c>
      <c r="E27" s="8">
        <v>1</v>
      </c>
      <c r="F27" s="32"/>
      <c r="G27" s="8">
        <v>0.25</v>
      </c>
      <c r="H27" s="32"/>
      <c r="I27" s="44">
        <f>6+(23/60)</f>
        <v>6.3833333333333337</v>
      </c>
      <c r="J27" s="14"/>
    </row>
    <row r="28" spans="2:10" ht="50.4" x14ac:dyDescent="0.3">
      <c r="B28" s="38"/>
      <c r="C28" s="10" t="s">
        <v>24</v>
      </c>
      <c r="D28" s="17" t="s">
        <v>60</v>
      </c>
      <c r="E28" s="8">
        <v>2</v>
      </c>
      <c r="F28" s="33"/>
      <c r="G28" s="8">
        <v>0.75</v>
      </c>
      <c r="H28" s="33"/>
      <c r="I28" s="44">
        <f>7+(46/60)</f>
        <v>7.7666666666666666</v>
      </c>
      <c r="J28" s="14" t="s">
        <v>81</v>
      </c>
    </row>
    <row r="29" spans="2:10" ht="33.6" x14ac:dyDescent="0.3">
      <c r="B29" s="37">
        <v>9</v>
      </c>
      <c r="C29" s="13" t="s">
        <v>36</v>
      </c>
      <c r="D29" s="17"/>
      <c r="E29" s="8"/>
      <c r="F29" s="31">
        <f>SUM(E29:E33)</f>
        <v>5</v>
      </c>
      <c r="G29" s="8"/>
      <c r="H29" s="31">
        <f>SUM(G29:G33)</f>
        <v>2</v>
      </c>
      <c r="I29" s="41"/>
      <c r="J29" s="14" t="s">
        <v>82</v>
      </c>
    </row>
    <row r="30" spans="2:10" x14ac:dyDescent="0.3">
      <c r="B30" s="39"/>
      <c r="C30" s="10" t="s">
        <v>25</v>
      </c>
      <c r="D30" s="2" t="s">
        <v>61</v>
      </c>
      <c r="E30" s="8">
        <v>1</v>
      </c>
      <c r="F30" s="32"/>
      <c r="G30" s="8">
        <v>0.5</v>
      </c>
      <c r="H30" s="32"/>
      <c r="I30" s="44">
        <f>6+(42/60)</f>
        <v>6.7</v>
      </c>
      <c r="J30" s="14" t="s">
        <v>82</v>
      </c>
    </row>
    <row r="31" spans="2:10" x14ac:dyDescent="0.3">
      <c r="B31" s="39"/>
      <c r="C31" s="10" t="s">
        <v>26</v>
      </c>
      <c r="D31" s="17" t="s">
        <v>62</v>
      </c>
      <c r="E31" s="8">
        <v>1.5</v>
      </c>
      <c r="F31" s="32"/>
      <c r="G31" s="8">
        <v>0.5</v>
      </c>
      <c r="H31" s="32"/>
      <c r="I31" s="44">
        <f>10+(59/60)</f>
        <v>10.983333333333333</v>
      </c>
      <c r="J31" s="14" t="s">
        <v>82</v>
      </c>
    </row>
    <row r="32" spans="2:10" x14ac:dyDescent="0.3">
      <c r="B32" s="39"/>
      <c r="C32" s="10" t="s">
        <v>27</v>
      </c>
      <c r="D32" s="17" t="s">
        <v>63</v>
      </c>
      <c r="E32" s="8">
        <v>0.5</v>
      </c>
      <c r="F32" s="32"/>
      <c r="G32" s="8">
        <v>0.5</v>
      </c>
      <c r="H32" s="32"/>
      <c r="I32" s="44">
        <f>2+(51/60)</f>
        <v>2.85</v>
      </c>
      <c r="J32" s="14" t="s">
        <v>82</v>
      </c>
    </row>
    <row r="33" spans="2:10" x14ac:dyDescent="0.3">
      <c r="B33" s="38"/>
      <c r="C33" s="10" t="s">
        <v>28</v>
      </c>
      <c r="D33" s="17" t="s">
        <v>64</v>
      </c>
      <c r="E33" s="8">
        <v>2</v>
      </c>
      <c r="F33" s="33"/>
      <c r="G33" s="8">
        <v>0.5</v>
      </c>
      <c r="H33" s="33"/>
      <c r="I33" s="44">
        <f>6+(11/60)</f>
        <v>6.1833333333333336</v>
      </c>
      <c r="J33" s="14" t="s">
        <v>82</v>
      </c>
    </row>
    <row r="34" spans="2:10" ht="33.6" x14ac:dyDescent="0.3">
      <c r="B34" s="37">
        <v>10</v>
      </c>
      <c r="C34" s="13" t="s">
        <v>37</v>
      </c>
      <c r="D34" s="17"/>
      <c r="E34" s="8"/>
      <c r="F34" s="31">
        <f>SUM(E34:E38)</f>
        <v>6.5</v>
      </c>
      <c r="G34" s="8"/>
      <c r="H34" s="31">
        <f>SUM(G34:G38)</f>
        <v>3</v>
      </c>
      <c r="I34" s="41"/>
      <c r="J34" s="14"/>
    </row>
    <row r="35" spans="2:10" x14ac:dyDescent="0.3">
      <c r="B35" s="39"/>
      <c r="C35" s="10" t="s">
        <v>29</v>
      </c>
      <c r="D35" s="17" t="s">
        <v>67</v>
      </c>
      <c r="E35" s="8">
        <v>2.5</v>
      </c>
      <c r="F35" s="32"/>
      <c r="G35" s="8">
        <v>1</v>
      </c>
      <c r="H35" s="32"/>
      <c r="I35" s="44">
        <f>6+(54/60)</f>
        <v>6.9</v>
      </c>
      <c r="J35" s="14" t="s">
        <v>76</v>
      </c>
    </row>
    <row r="36" spans="2:10" ht="33.6" x14ac:dyDescent="0.3">
      <c r="B36" s="39"/>
      <c r="C36" s="10" t="s">
        <v>30</v>
      </c>
      <c r="D36" s="17" t="s">
        <v>66</v>
      </c>
      <c r="E36" s="8">
        <v>2</v>
      </c>
      <c r="F36" s="32"/>
      <c r="G36" s="8">
        <v>0.75</v>
      </c>
      <c r="H36" s="32"/>
      <c r="I36" s="44">
        <f>6+(48/60)</f>
        <v>6.8</v>
      </c>
      <c r="J36" s="14" t="s">
        <v>82</v>
      </c>
    </row>
    <row r="37" spans="2:10" x14ac:dyDescent="0.3">
      <c r="B37" s="39"/>
      <c r="C37" s="10" t="s">
        <v>31</v>
      </c>
      <c r="D37" s="17" t="s">
        <v>65</v>
      </c>
      <c r="E37" s="8">
        <v>0.75</v>
      </c>
      <c r="F37" s="32"/>
      <c r="G37" s="8">
        <v>0.5</v>
      </c>
      <c r="H37" s="32"/>
      <c r="I37" s="44">
        <f>4+(36/60)</f>
        <v>4.5999999999999996</v>
      </c>
      <c r="J37" s="14" t="s">
        <v>82</v>
      </c>
    </row>
    <row r="38" spans="2:10" x14ac:dyDescent="0.3">
      <c r="B38" s="38"/>
      <c r="C38" s="10" t="s">
        <v>32</v>
      </c>
      <c r="D38" s="17" t="s">
        <v>68</v>
      </c>
      <c r="E38" s="8">
        <v>1.25</v>
      </c>
      <c r="F38" s="33"/>
      <c r="G38" s="8">
        <v>0.75</v>
      </c>
      <c r="H38" s="33"/>
      <c r="I38" s="44">
        <f>4+(58/60)</f>
        <v>4.9666666666666668</v>
      </c>
      <c r="J38" s="14" t="s">
        <v>76</v>
      </c>
    </row>
    <row r="39" spans="2:10" x14ac:dyDescent="0.3">
      <c r="B39" s="7"/>
      <c r="C39" s="11"/>
      <c r="D39" s="18"/>
      <c r="E39" s="9"/>
      <c r="F39" s="9"/>
      <c r="G39" s="9"/>
      <c r="H39" s="9"/>
      <c r="I39" s="43"/>
      <c r="J39" s="15"/>
    </row>
    <row r="40" spans="2:10" x14ac:dyDescent="0.3">
      <c r="B40" s="21" t="s">
        <v>87</v>
      </c>
      <c r="C40" s="22"/>
      <c r="D40" s="23" t="s">
        <v>85</v>
      </c>
      <c r="E40" s="24">
        <f>SUM(E4:E39)</f>
        <v>48</v>
      </c>
      <c r="F40" s="24">
        <f>SUM(F4:F39)</f>
        <v>48</v>
      </c>
      <c r="G40" s="24">
        <f>SUM(G4:G39)</f>
        <v>21.6</v>
      </c>
      <c r="H40" s="24">
        <f>SUM(H4:H39)</f>
        <v>21.6</v>
      </c>
      <c r="I40" s="45">
        <f>SUM(I4:I39)</f>
        <v>192.35</v>
      </c>
      <c r="J40" s="25"/>
    </row>
    <row r="41" spans="2:10" x14ac:dyDescent="0.3">
      <c r="B41" s="26">
        <f>MAX(B4:B39)</f>
        <v>10</v>
      </c>
      <c r="C41" s="27"/>
      <c r="D41" s="28" t="s">
        <v>86</v>
      </c>
      <c r="E41" s="29">
        <f>E40/$B$41</f>
        <v>4.8</v>
      </c>
      <c r="F41" s="29">
        <f>F40/$B$41</f>
        <v>4.8</v>
      </c>
      <c r="G41" s="29">
        <f>G40/$B$41</f>
        <v>2.16</v>
      </c>
      <c r="H41" s="29">
        <f>H40/$B$41</f>
        <v>2.16</v>
      </c>
      <c r="I41" s="29">
        <f>I40/$B$41</f>
        <v>19.234999999999999</v>
      </c>
      <c r="J41" s="30"/>
    </row>
  </sheetData>
  <autoFilter ref="B3:J40" xr:uid="{678E230F-EC35-4325-974A-0D9F58177339}"/>
  <mergeCells count="30">
    <mergeCell ref="H29:H33"/>
    <mergeCell ref="H34:H38"/>
    <mergeCell ref="B4:B10"/>
    <mergeCell ref="B11:B13"/>
    <mergeCell ref="B14:B16"/>
    <mergeCell ref="B17:B18"/>
    <mergeCell ref="B19:B21"/>
    <mergeCell ref="B22:B23"/>
    <mergeCell ref="B24:B25"/>
    <mergeCell ref="F34:F38"/>
    <mergeCell ref="F29:F33"/>
    <mergeCell ref="F19:F21"/>
    <mergeCell ref="B26:B28"/>
    <mergeCell ref="B29:B33"/>
    <mergeCell ref="B34:B38"/>
    <mergeCell ref="H24:H25"/>
    <mergeCell ref="F22:F23"/>
    <mergeCell ref="F24:F25"/>
    <mergeCell ref="F26:F28"/>
    <mergeCell ref="H4:H10"/>
    <mergeCell ref="H11:H13"/>
    <mergeCell ref="H14:H16"/>
    <mergeCell ref="H17:H18"/>
    <mergeCell ref="H19:H21"/>
    <mergeCell ref="H26:H28"/>
    <mergeCell ref="F4:F10"/>
    <mergeCell ref="F11:F13"/>
    <mergeCell ref="F14:F16"/>
    <mergeCell ref="F17:F18"/>
    <mergeCell ref="H22:H23"/>
  </mergeCells>
  <hyperlinks>
    <hyperlink ref="J2" r:id="rId1" xr:uid="{D2A85A64-1915-4DD4-80A0-ACB04A9FDABE}"/>
  </hyperlinks>
  <pageMargins left="0.7" right="0.7" top="0.75" bottom="0.75" header="0.3" footer="0.3"/>
  <ignoredErrors>
    <ignoredError sqref="F4:F39 H4:H38" formulaRange="1"/>
  </ignoredError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LTWB</vt:lpstr>
    </vt:vector>
  </TitlesOfParts>
  <Manager/>
  <Company>ESCUELA COL DE INGENIERIA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ESCUELA COL DE INGENIERIA</dc:creator>
  <cp:keywords/>
  <dc:description/>
  <cp:lastModifiedBy>WILLIAM RICARDO AGUILAR PIÑA</cp:lastModifiedBy>
  <cp:revision/>
  <dcterms:created xsi:type="dcterms:W3CDTF">2011-01-18T16:27:45Z</dcterms:created>
  <dcterms:modified xsi:type="dcterms:W3CDTF">2023-03-22T16:49:01Z</dcterms:modified>
  <cp:category/>
  <cp:contentStatus/>
</cp:coreProperties>
</file>